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7ddd532dc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b659ef4b80c34031"/>
    <x:sheet xmlns:r="http://schemas.openxmlformats.org/officeDocument/2006/relationships" name="IaC nhưng Manual UI" sheetId="2" r:id="R4b5d28c13b3f489d"/>
    <x:sheet xmlns:r="http://schemas.openxmlformats.org/officeDocument/2006/relationships" name="Lộ trình" sheetId="3" r:id="R75067d7223fa4a0c"/>
    <x:sheet xmlns:r="http://schemas.openxmlformats.org/officeDocument/2006/relationships" name="Kiểm thử &amp; rủi ro" sheetId="4" r:id="R7d679c36015c45ad"/>
    <x:sheet xmlns:r="http://schemas.openxmlformats.org/officeDocument/2006/relationships" name="Thuật ngữ Provider" sheetId="5" r:id="Ra99f7343e598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b/>
      <x:sz val="16"/>
      <x:color rgb="FF17365D"/>
      <x:name val="Arial"/>
    </x:font>
    <x:font>
      <x:i/>
      <x:sz val="10"/>
      <x:color rgb="FF595959"/>
      <x:name val="Arial"/>
    </x:font>
    <x:font>
      <x:b/>
      <x:sz val="11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2F75B5"/>
      <x:name val="Arial"/>
    </x:font>
    <x:font>
      <x:b/>
      <x:sz val="9"/>
      <x:color rgb="FF17365D"/>
      <x:name val="Arial"/>
    </x:font>
    <x:font>
      <x:sz val="9"/>
      <x:color rgb="FF595959"/>
      <x:name val="Arial"/>
    </x:font>
    <x:font>
      <x:b/>
      <x:sz val="14"/>
      <x:color rgb="FF17365D"/>
      <x:name val="Arial"/>
    </x:font>
    <x:font>
      <x:b/>
      <x:sz val="10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8">
    <x:border/>
    <x:border>
      <x:bottom style="medium">
        <x:color rgb="FF2F75B5"/>
      </x:bottom>
    </x:border>
    <x:border>
      <x:left style="thin">
        <x:color rgb="FFB8C2CC"/>
      </x:lef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8C2CC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2" borderId="5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6" fillId="0" borderId="7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4" fillId="0" borderId="7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200" fontId="10" fillId="0" borderId="0" xfId="0" applyNumberFormat="1" applyFont="1" applyFill="1" applyBorder="1" applyAlignment="1">
      <x:alignment horizontal="center"/>
    </x:xf>
    <x:xf numFmtId="0" fontId="11" fillId="0" borderId="1" xfId="0" applyNumberFormat="1" applyFont="1" applyFill="1" applyBorder="1"/>
    <x:xf numFmtId="0" fontId="6" fillId="0" borderId="1" xfId="0" applyNumberFormat="1" applyFont="1" applyFill="1" applyBorder="1"/>
  </x:cellXfs>
  <x:cellStyles count="1">
    <x:cellStyle name="Normal" xfId="0"/>
  </x:cellStyles>
  <x:dxfs count="15"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F3F4F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F3F4F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F3F4F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9bbee41114607" /><Relationship Type="http://schemas.openxmlformats.org/officeDocument/2006/relationships/theme" Target="/xl/theme/theme1.xml" Id="R51580cb73e32415c" /><Relationship Type="http://schemas.openxmlformats.org/officeDocument/2006/relationships/sharedStrings" Target="/xl/sharedStrings.xml" Id="Rc280de8e18bd4b05" /><Relationship Type="http://schemas.openxmlformats.org/officeDocument/2006/relationships/worksheet" Target="/xl/worksheets/sheet1.xml" Id="Rb659ef4b80c34031" /><Relationship Type="http://schemas.openxmlformats.org/officeDocument/2006/relationships/worksheet" Target="/xl/worksheets/sheet2.xml" Id="R4b5d28c13b3f489d" /><Relationship Type="http://schemas.openxmlformats.org/officeDocument/2006/relationships/worksheet" Target="/xl/worksheets/sheet3.xml" Id="R75067d7223fa4a0c" /><Relationship Type="http://schemas.openxmlformats.org/officeDocument/2006/relationships/worksheet" Target="/xl/worksheets/sheet4.xml" Id="R7d679c36015c45ad" /><Relationship Type="http://schemas.openxmlformats.org/officeDocument/2006/relationships/worksheet" Target="/xl/worksheets/sheet5.xml" Id="Ra99f7343e59841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d936540bfa4b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Bằng chứng Task 2 hiện tại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Số case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'Tổng quan'!$H$5:$H$8</c:f>
              <c:strCache>
                <c:ptCount val="0"/>
              </c:strCache>
            </c:strRef>
          </c:cat>
          <c:val>
            <c:numRef>
              <c:f>'Tổng quan'!$I$5:$I$8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d936540bfa4b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aCManualComparison" displayName="IaCManualComparison" ref="A4:F12" headerRowCount="1" totalsRowCount="0" totalsRowShown="0">
  <x:tableColumns count="6">
    <x:tableColumn id="1" name="Tiêu chí"/>
    <x:tableColumn id="2" name="IaC – Ưu"/>
    <x:tableColumn id="3" name="IaC – Nhưng"/>
    <x:tableColumn id="4" name="Manual UI – Ưu"/>
    <x:tableColumn id="5" name="Manual UI – Nhưng"/>
    <x:tableColumn id="6" name="Khuyến ngh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loutRoadmap" displayName="RolloutRoadmap" ref="A4:I9" headerRowCount="1" totalsRowCount="0" totalsRowShown="0">
  <x:tableColumns count="9">
    <x:tableColumn id="1" name="Phase"/>
    <x:tableColumn id="2" name="Mục tiêu"/>
    <x:tableColumn id="3" name="Phạm vi"/>
    <x:tableColumn id="4" name="Deliverable"/>
    <x:tableColumn id="5" name="Exit criteria"/>
    <x:tableColumn id="6" name="Owner"/>
    <x:tableColumn id="7" name="Tuần"/>
    <x:tableColumn id="8" name="Bắt đầu"/>
    <x:tableColumn id="9" name="Trạng thá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Tests" displayName="DecisionTests" ref="A8:G20" headerRowCount="1" totalsRowCount="0" totalsRowShown="0">
  <x:tableColumns count="7">
    <x:tableColumn id="1" name="ID"/>
    <x:tableColumn id="2" name="Yêu cầu"/>
    <x:tableColumn id="3" name="Phạm vi"/>
    <x:tableColumn id="4" name="Bằng chứng hiện tại"/>
    <x:tableColumn id="5" name="Trạng thái"/>
    <x:tableColumn id="6" name="Owner"/>
    <x:tableColumn id="7" name="Bước kế tiế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skControls" displayName="RiskControls" ref="A24:G30" headerRowCount="1" totalsRowCount="0" totalsRowShown="0">
  <x:tableColumns count="7">
    <x:tableColumn id="1" name="Limitation"/>
    <x:tableColumn id="2" name="Liên quan"/>
    <x:tableColumn id="3" name="Quan sát"/>
    <x:tableColumn id="4" name="Cách ghi report"/>
    <x:tableColumn id="5" name="Ảnh hưởng"/>
    <x:tableColumn id="6" name="Owner"/>
    <x:tableColumn id="7" name="Trạng thá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viderTerms" displayName="ProviderTerms" ref="A5:F30" headerRowCount="1" totalsRowCount="0" totalsRowShown="0">
  <x:tableColumns count="6">
    <x:tableColumn id="1" name="Thuật ngữ"/>
    <x:tableColumn id="2" name="Loại"/>
    <x:tableColumn id="3" name="Nghĩa"/>
    <x:tableColumn id="4" name="Ví dụ trong PoC"/>
    <x:tableColumn id="5" name="Khi áp dụng"/>
    <x:tableColumn id="6" name="Lưu 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98bf7ba73147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abf15a37ae4e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96157278b84e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7c9321df0e4322" /><Relationship Type="http://schemas.openxmlformats.org/officeDocument/2006/relationships/table" Target="/xl/tables/table4.xml" Id="Rade040bbccf445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8fcece26b474104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" hidden="0" customWidth="1"/>
    <x:col min="8" max="8" width="21" hidden="0" customWidth="1"/>
    <x:col min="9" max="9" width="11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4" hidden="0" customHeight="1">
      <x:c r="A1" s="40" t="str">
        <x:v>Task 2 – GitHub Org Teams bằng Terraform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2" ht="24" hidden="0" customHeight="1">
      <x:c r="A2" s="3" t="str">
        <x:v>Phạm vi: team và direct team membership | Không bao gồm Org Members | Cập nhật 2026-10-01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/>
    <x:row r="4" ht="15" hidden="0" customHeight="1">
      <x:c r="A4" s="6" t="str">
        <x:v>Quyết định hiện tại</x:v>
      </x:c>
      <x:c r="B4" s="7"/>
      <x:c r="C4" s="7"/>
      <x:c r="D4" s="7"/>
      <x:c r="E4" s="7"/>
      <x:c r="F4" s="8"/>
      <x:c r="H4" s="23" t="str">
        <x:v>Trạng thái kiểm thử</x:v>
      </x:c>
      <x:c r="I4" s="23" t="str">
        <x:v>Số case</x:v>
      </x:c>
    </x:row>
    <x:row r="5" ht="24" hidden="0" customHeight="1">
      <x:c r="A5" s="12" t="str">
        <x:v>Phạm vi gốc</x:v>
      </x:c>
      <x:c r="B5" s="15" t="str">
        <x:v>Create/update/delete team; add/remove member; đổi team role</x:v>
      </x:c>
      <x:c r="H5" s="27" t="str">
        <x:v>Đạt</x:v>
      </x:c>
      <x:c r="I5" s="31" t="n">
        <x:f>COUNTIF('Kiểm thử &amp; rủi ro'!$E$9:$E$20,"Đạt")</x:f>
        <x:v>8</x:v>
      </x:c>
    </x:row>
    <x:row r="6" ht="26.399999618530273" hidden="0" customHeight="1">
      <x:c r="A6" s="12" t="str">
        <x:v>Đã chứng minh live</x:v>
      </x:c>
      <x:c r="B6" s="16" t="str">
        <x:v>Create/update/delete team; add/role/remove direct membership</x:v>
      </x:c>
      <x:c r="H6" s="28" t="str">
        <x:v>Đạt một phần</x:v>
      </x:c>
      <x:c r="I6" s="32" t="n">
        <x:f>COUNTIF('Kiểm thử &amp; rủi ro'!$E$9:$E$20,"Đạt một phần")</x:f>
        <x:v>0</x:v>
      </x:c>
    </x:row>
    <x:row r="7" ht="26.399999618530273" hidden="0" customHeight="1">
      <x:c r="A7" s="12" t="str">
        <x:v>Trạng thái cuối</x:v>
      </x:c>
      <x:c r="B7" s="13" t="str">
        <x:v>Team đã xóa; Terraform state trống; org members còn nguyên</x:v>
      </x:c>
      <x:c r="H7" s="28" t="str">
        <x:v>Chưa chạy</x:v>
      </x:c>
      <x:c r="I7" s="32" t="n">
        <x:f>COUNTIF('Kiểm thử &amp; rủi ro'!$E$9:$E$20,"Chưa chạy")</x:f>
        <x:v>4</x:v>
      </x:c>
    </x:row>
    <x:row r="8" ht="26.399999618530273" hidden="0" customHeight="1">
      <x:c r="A8" s="12" t="str">
        <x:v>Ngoài phạm vi</x:v>
      </x:c>
      <x:c r="B8" s="13" t="str">
        <x:v>Invite, đổi org role, remove org member – Task 1 của Hoàng</x:v>
      </x:c>
      <x:c r="H8" s="28" t="str">
        <x:v>Chặn</x:v>
      </x:c>
      <x:c r="I8" s="32" t="n">
        <x:f>COUNTIF('Kiểm thử &amp; rủi ro'!$E$9:$E$20,"Chặn")</x:f>
        <x:v>0</x:v>
      </x:c>
    </x:row>
    <x:row r="9" ht="26.399999618530273" hidden="0" customHeight="1">
      <x:c r="A9" s="12" t="str">
        <x:v>Kết luận</x:v>
      </x:c>
      <x:c r="B9" s="17" t="str">
        <x:v>Đạt lifecycle Task 2 trong sandbox; chưa đánh giá production</x:v>
      </x:c>
    </x:row>
    <x:row r="10"/>
    <x:row r="11" ht="15" hidden="0" customHeight="1">
      <x:c r="A11" s="6" t="str">
        <x:v>Cổng quyết định</x:v>
      </x:c>
      <x:c r="B11" s="7"/>
      <x:c r="C11" s="7"/>
      <x:c r="D11" s="7"/>
      <x:c r="E11" s="7"/>
      <x:c r="F11" s="8"/>
    </x:row>
    <x:row r="12" ht="15" hidden="0" customHeight="1">
      <x:c r="A12" s="23" t="str">
        <x:v>Cổng</x:v>
      </x:c>
      <x:c r="B12" s="23" t="str">
        <x:v>Hiện tại</x:v>
      </x:c>
      <x:c r="C12" s="23" t="str">
        <x:v>Bằng chứng</x:v>
      </x:c>
      <x:c r="D12" s="23" t="str">
        <x:v>Điều kiện đạt</x:v>
      </x:c>
      <x:c r="E12" s="23" t="str">
        <x:v>Owner</x:v>
      </x:c>
      <x:c r="F12" s="23" t="str">
        <x:v>Quyết định</x:v>
      </x:c>
    </x:row>
    <x:row r="13" ht="24" hidden="0" customHeight="1">
      <x:c r="A13" s="27" t="str">
        <x:v>Team lifecycle</x:v>
      </x:c>
      <x:c r="B13" s="27" t="str">
        <x:v>Đạt</x:v>
      </x:c>
      <x:c r="C13" s="27" t="str">
        <x:v>Create/update/delete + convergence</x:v>
      </x:c>
      <x:c r="D13" s="27" t="str">
        <x:v>Giữ Jira evidence</x:v>
      </x:c>
      <x:c r="E13" s="27" t="str">
        <x:v>Task 2</x:v>
      </x:c>
      <x:c r="F13" s="27" t="str">
        <x:v>Hoàn tất PoC</x:v>
      </x:c>
    </x:row>
    <x:row r="14" ht="24" hidden="0" customHeight="1">
      <x:c r="A14" s="28" t="str">
        <x:v>Team membership</x:v>
      </x:c>
      <x:c r="B14" s="28" t="str">
        <x:v>Đạt</x:v>
      </x:c>
      <x:c r="C14" s="28" t="str">
        <x:v>Add/member→maintainer/remove</x:v>
      </x:c>
      <x:c r="D14" s="28" t="str">
        <x:v>Org role không đổi</x:v>
      </x:c>
      <x:c r="E14" s="28" t="str">
        <x:v>Task 2</x:v>
      </x:c>
      <x:c r="F14" s="28" t="str">
        <x:v>Hoàn tất PoC</x:v>
      </x:c>
    </x:row>
    <x:row r="15" ht="24" hidden="0" customHeight="1">
      <x:c r="A15" s="28" t="str">
        <x:v>Cleanup</x:v>
      </x:c>
      <x:c r="B15" s="28" t="str">
        <x:v>Đạt</x:v>
      </x:c>
      <x:c r="C15" s="28" t="str">
        <x:v>Team 404; state empty; final plan 0</x:v>
      </x:c>
      <x:c r="D15" s="28" t="str">
        <x:v>Org members còn active</x:v>
      </x:c>
      <x:c r="E15" s="28" t="str">
        <x:v>Task 2</x:v>
      </x:c>
      <x:c r="F15" s="28" t="str">
        <x:v>Hoàn tất PoC</x:v>
      </x:c>
    </x:row>
    <x:row r="16" ht="15" hidden="0" customHeight="1">
      <x:c r="A16" s="28" t="str">
        <x:v>Mở rộng</x:v>
      </x:c>
      <x:c r="B16" s="28" t="str">
        <x:v>Chưa chạy</x:v>
      </x:c>
      <x:c r="C16" s="28" t="str">
        <x:v>Nested/drift/import chưa live</x:v>
      </x:c>
      <x:c r="D16" s="28" t="str">
        <x:v>Chạy nếu pilot cần</x:v>
      </x:c>
      <x:c r="E16" s="28" t="str">
        <x:v>Platform</x:v>
      </x:c>
      <x:c r="F16" s="28" t="str">
        <x:v>Không chặn task gốc</x:v>
      </x:c>
    </x:row>
    <x:row r="17" ht="24" hidden="0" customHeight="1">
      <x:c r="A17" s="28" t="str">
        <x:v>Production controls</x:v>
      </x:c>
      <x:c r="B17" s="28" t="str">
        <x:v>Chưa chạy</x:v>
      </x:c>
      <x:c r="C17" s="28" t="str">
        <x:v>State local; chưa CI/GitHub App</x:v>
      </x:c>
      <x:c r="D17" s="28" t="str">
        <x:v>Backend lock + PR + credential</x:v>
      </x:c>
      <x:c r="E17" s="28" t="str">
        <x:v>Platform lead</x:v>
      </x:c>
      <x:c r="F17" s="28" t="str">
        <x:v>Chưa production</x:v>
      </x:c>
    </x:row>
    <x:row r="18"/>
    <x:row r="19"/>
    <x:row r="20" ht="15" hidden="0" customHeight="1">
      <x:c r="A20" s="6" t="str">
        <x:v>Khuyến nghị cho giai đoạn tiếp theo</x:v>
      </x:c>
      <x:c r="B20" s="7"/>
      <x:c r="C20" s="7"/>
      <x:c r="D20" s="7"/>
      <x:c r="E20" s="7"/>
      <x:c r="F20" s="8"/>
    </x:row>
    <x:row r="21" ht="36" hidden="0" customHeight="1">
      <x:c r="A21" s="30" t="str">
        <x:v>1</x:v>
      </x:c>
      <x:c r="B21" s="11" t="str">
        <x:v>Remote state có locking</x:v>
      </x:c>
      <x:c r="C21" s="11" t="str">
        <x:v>Mã hóa, backup và tách workspace/environment</x:v>
      </x:c>
      <x:c r="D21" s="11" t="str">
        <x:v>Tránh mất state và apply đồng thời</x:v>
      </x:c>
      <x:c r="E21" t="str"/>
      <x:c r="F21" t="str"/>
    </x:row>
    <x:row r="22" ht="36" hidden="0" customHeight="1">
      <x:c r="A22" s="30" t="str">
        <x:v>2</x:v>
      </x:c>
      <x:c r="B22" s="11" t="str">
        <x:v>Credential chuyên dụng</x:v>
      </x:c>
      <x:c r="C22" s="11" t="str">
        <x:v>GitHub App hoặc PAT ngắn hạn; least privilege</x:v>
      </x:c>
      <x:c r="D22" s="11" t="str">
        <x:v>Không phụ thuộc token cá nhân</x:v>
      </x:c>
      <x:c r="E22" t="str"/>
      <x:c r="F22" t="str"/>
    </x:row>
    <x:row r="23" ht="36" hidden="0" customHeight="1">
      <x:c r="A23" s="30" t="str">
        <x:v>3</x:v>
      </x:c>
      <x:c r="B23" s="11" t="str">
        <x:v>PR + plan review</x:v>
      </x:c>
      <x:c r="C23" s="11" t="str">
        <x:v>CI tạo plan; reviewer duyệt destroy/replace</x:v>
      </x:c>
      <x:c r="D23" s="11" t="str">
        <x:v>Có audit trail trước apply</x:v>
      </x:c>
      <x:c r="E23" t="str"/>
      <x:c r="F23" t="str"/>
    </x:row>
    <x:row r="24" ht="36" hidden="0" customHeight="1">
      <x:c r="A24" s="30" t="str">
        <x:v>4</x:v>
      </x:c>
      <x:c r="B24" s="11" t="str">
        <x:v>Pilot import</x:v>
      </x:c>
      <x:c r="C24" s="11" t="str">
        <x:v>2–3 team không critical; inventory direct/inherited</x:v>
      </x:c>
      <x:c r="D24" s="11" t="str">
        <x:v>Import không tạo diff ngoài dự kiến</x:v>
      </x:c>
      <x:c r="E24" t="str"/>
      <x:c r="F24" t="str"/>
    </x:row>
    <x:row r="25" ht="36" hidden="0" customHeight="1">
      <x:c r="A25" s="30" t="str">
        <x:v>5</x:v>
      </x:c>
      <x:c r="B25" s="11" t="str">
        <x:v>Drift và break-glass</x:v>
      </x:c>
      <x:c r="C25" s="11" t="str">
        <x:v>Scheduled plan; UI change phải reconcile</x:v>
      </x:c>
      <x:c r="D25" s="11" t="str">
        <x:v>Giữ code là nguồn chuẩn</x:v>
      </x:c>
      <x:c r="E25" t="str"/>
      <x:c r="F25" t="str"/>
    </x:row>
    <x:row r="26"/>
    <x:row r="27"/>
    <x:row r="28" ht="15" hidden="0" customHeight="1">
      <x:c r="A28" s="33" t="str">
        <x:v>Nguồn</x:v>
      </x:c>
      <x:c r="B28" s="33" t="str">
        <x:v>URL</x:v>
      </x:c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</x:row>
    <x:row r="29" ht="15" hidden="0" customHeight="1">
      <x:c r="A29" s="34" t="str">
        <x:v>Terraform GitHub Provider 6.13.0</x:v>
      </x:c>
      <x:c r="B29" s="34" t="str">
        <x:v>https://registry.terraform.io/providers/integrations/github/latest/docs</x:v>
      </x:c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</x:row>
    <x:row r="30" ht="15" hidden="0" customHeight="1">
      <x:c r="A30" s="34" t="str">
        <x:v>GitHub team API</x:v>
      </x:c>
      <x:c r="B30" s="34" t="str">
        <x:v>https://docs.github.com/en/rest/teams/teams</x:v>
      </x:c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</x:row>
    <x:row r="31" ht="15" hidden="0" customHeight="1">
      <x:c r="A31" s="34" t="str">
        <x:v>PoC repository</x:v>
      </x:c>
      <x:c r="B31" s="34" t="str">
        <x:v>https://github.com/phuc-do-v2/github-org-iac-po</x:v>
      </x:c>
      <x:c r="C31" t="str"/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</x:row>
  </x:sheetData>
  <x:conditionalFormatting sqref="B13:B17">
    <x:cfRule type="cellIs" dxfId="0" priority="1" operator="equal">
      <x:formula>"Đạt"</x:formula>
    </x:cfRule>
    <x:cfRule type="cellIs" dxfId="1" priority="2" operator="equal">
      <x:formula>"Hoàn tất"</x:formula>
    </x:cfRule>
    <x:cfRule type="cellIs" dxfId="2" priority="3" operator="equal">
      <x:formula>"Đạt một phần"</x:formula>
    </x:cfRule>
    <x:cfRule type="cellIs" dxfId="3" priority="4" operator="equal">
      <x:formula>"Chưa chạy"</x:formula>
    </x:cfRule>
    <x:cfRule type="cellIs" dxfId="4" priority="5" operator="equal">
      <x:formula>"Chặn"</x:formula>
    </x:cfRule>
  </x:conditionalFormatting>
  <x:pageMargins left="0.7" right="0.7" top="0.75" bottom="0.75" header="0.3" footer="0.3"/>
  <x:drawing xmlns:r="http://schemas.openxmlformats.org/officeDocument/2006/relationships" r:id="Rd798bf7ba73147d3"/>
</x:worksheet>
</file>

<file path=xl/worksheets/sheet2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20" hidden="0" customWidth="1"/>
  </x:cols>
  <x:sheetData>
    <x:row r="1" ht="24" hidden="0" customHeight="1">
      <x:c r="A1" s="40" t="str">
        <x:v>Task 2: IaC nhưng vẫn cần Manual UI</x:v>
      </x:c>
      <x:c r="B1" s="41"/>
      <x:c r="C1" s="41"/>
      <x:c r="D1" s="41"/>
      <x:c r="E1" s="41"/>
      <x:c r="F1" s="41"/>
    </x:row>
    <x:row r="2" ht="24" hidden="0" customHeight="1">
      <x:c r="A2" s="3" t="str">
        <x:v>So sánh trong phạm vi team và direct team membership</x:v>
      </x:c>
      <x:c r="B2" s="3"/>
      <x:c r="C2" s="3"/>
      <x:c r="D2" s="3"/>
      <x:c r="E2" s="3"/>
      <x:c r="F2" s="3"/>
    </x:row>
    <x:row r="3"/>
    <x:row r="4" ht="15" hidden="0" customHeight="1">
      <x:c r="A4" s="23" t="str">
        <x:v>Tiêu chí</x:v>
      </x:c>
      <x:c r="B4" s="23" t="str">
        <x:v>IaC – Ưu</x:v>
      </x:c>
      <x:c r="C4" s="23" t="str">
        <x:v>IaC – Nhưng</x:v>
      </x:c>
      <x:c r="D4" s="23" t="str">
        <x:v>Manual UI – Ưu</x:v>
      </x:c>
      <x:c r="E4" s="23" t="str">
        <x:v>Manual UI – Nhưng</x:v>
      </x:c>
      <x:c r="F4" s="23" t="str">
        <x:v>Khuyến nghị</x:v>
      </x:c>
    </x:row>
    <x:row r="5" ht="62" hidden="0" customHeight="1">
      <x:c r="A5" s="27" t="str">
        <x:v>Thay đổi lặp lại</x:v>
      </x:c>
      <x:c r="B5" s="27" t="str">
        <x:v>Nhất quán, review được, tái tạo được</x:v>
      </x:c>
      <x:c r="C5" s="27" t="str">
        <x:v>Cần state và pipeline ổn định</x:v>
      </x:c>
      <x:c r="D5" s="27" t="str">
        <x:v>Nhanh với một thay đổi nhỏ</x:v>
      </x:c>
      <x:c r="E5" s="27" t="str">
        <x:v>Dễ lệch chuẩn khi số lượng tăng</x:v>
      </x:c>
      <x:c r="F5" s="35" t="str">
        <x:v>Đánh giá sau PoC</x:v>
      </x:c>
    </x:row>
    <x:row r="6" ht="62" hidden="0" customHeight="1">
      <x:c r="A6" s="28" t="str">
        <x:v>Audit và phê duyệt</x:v>
      </x:c>
      <x:c r="B6" s="28" t="str">
        <x:v>Có commit, PR và plan</x:v>
      </x:c>
      <x:c r="C6" s="28" t="str">
        <x:v>Plan không hiển thị side effect ngoài state</x:v>
      </x:c>
      <x:c r="D6" s="28" t="str">
        <x:v>GitHub audit log hỗ trợ tra cứu</x:v>
      </x:c>
      <x:c r="E6" s="28" t="str">
        <x:v>Khó thấy ý định trước thay đổi</x:v>
      </x:c>
      <x:c r="F6" s="36" t="str">
        <x:v>IaC phù hợp nếu lifecycle đạt</x:v>
      </x:c>
    </x:row>
    <x:row r="7" ht="62" hidden="0" customHeight="1">
      <x:c r="A7" s="28" t="str">
        <x:v>Drift</x:v>
      </x:c>
      <x:c r="B7" s="28" t="str">
        <x:v>Plan phát hiện cấu hình bị sửa</x:v>
      </x:c>
      <x:c r="C7" s="28" t="str">
        <x:v>Không quản lý đối tượng ngoài config</x:v>
      </x:c>
      <x:c r="D7" s="28" t="str">
        <x:v>Admin nhìn thấy trạng thái hiện tại</x:v>
      </x:c>
      <x:c r="E7" s="28" t="str">
        <x:v>Không tự chỉ ra chênh lệch với chuẩn</x:v>
      </x:c>
      <x:c r="F7" s="36" t="str">
        <x:v>Kiểm thử mở rộng</x:v>
      </x:c>
    </x:row>
    <x:row r="8" ht="62" hidden="0" customHeight="1">
      <x:c r="A8" s="28" t="str">
        <x:v>Bootstrap</x:v>
      </x:c>
      <x:c r="B8" s="28" t="str">
        <x:v>Có thể code hóa sau khi nền tảng sẵn sàng</x:v>
      </x:c>
      <x:c r="C8" s="28" t="str">
        <x:v>Token, state và backend phải có trước</x:v>
      </x:c>
      <x:c r="D8" s="28" t="str">
        <x:v>Tạo org, token, invitation ban đầu nhanh</x:v>
      </x:c>
      <x:c r="E8" s="28" t="str">
        <x:v>Khó lặp lại và dễ thiếu bằng chứng</x:v>
      </x:c>
      <x:c r="F8" s="36" t="str">
        <x:v>Ngoài Task 2</x:v>
      </x:c>
    </x:row>
    <x:row r="9" ht="62" hidden="0" customHeight="1">
      <x:c r="A9" s="28" t="str">
        <x:v>Sự cố khẩn cấp</x:v>
      </x:c>
      <x:c r="B9" s="28" t="str">
        <x:v>Có lịch sử nếu vẫn qua Git</x:v>
      </x:c>
      <x:c r="C9" s="28" t="str">
        <x:v>Có thể chậm khi cần xử lý tức thời</x:v>
      </x:c>
      <x:c r="D9" s="28" t="str">
        <x:v>Phản ứng nhanh</x:v>
      </x:c>
      <x:c r="E9" s="28" t="str">
        <x:v>Dễ quên reconcile về code</x:v>
      </x:c>
      <x:c r="F9" s="36" t="str">
        <x:v>Kết hợp</x:v>
      </x:c>
    </x:row>
    <x:row r="10" ht="62" hidden="0" customHeight="1">
      <x:c r="A10" s="28" t="str">
        <x:v>Nested team</x:v>
      </x:c>
      <x:c r="B10" s="28" t="str">
        <x:v>Dependency rõ trong code</x:v>
      </x:c>
      <x:c r="C10" s="28" t="str">
        <x:v>Xóa parent có thể cascade ngoài plan</x:v>
      </x:c>
      <x:c r="D10" s="28" t="str">
        <x:v>Dễ quan sát hierarchy</x:v>
      </x:c>
      <x:c r="E10" s="28" t="str">
        <x:v>Click nhầm có thể ảnh hưởng rộng</x:v>
      </x:c>
      <x:c r="F10" s="36" t="str">
        <x:v>Kiểm thử mở rộng</x:v>
      </x:c>
    </x:row>
    <x:row r="11" ht="62" hidden="0" customHeight="1">
      <x:c r="A11" s="28" t="str">
        <x:v>Membership</x:v>
      </x:c>
      <x:c r="B11" s="28" t="str">
        <x:v>Role và direct relationship rõ</x:v>
      </x:c>
      <x:c r="C11" s="28" t="str">
        <x:v>Inherited/IdP membership cần quy ước riêng</x:v>
      </x:c>
      <x:c r="D11" s="28" t="str">
        <x:v>Thuận tiện xử lý ngoại lệ</x:v>
      </x:c>
      <x:c r="E11" s="28" t="str">
        <x:v>Khó kiểm soát ở quy mô lớn</x:v>
      </x:c>
      <x:c r="F11" s="36" t="str">
        <x:v>Đánh giá sau live test</x:v>
      </x:c>
    </x:row>
    <x:row r="12" ht="62" hidden="0" customHeight="1">
      <x:c r="A12" s="28" t="str">
        <x:v>Import tài nguyên cũ</x:v>
      </x:c>
      <x:c r="B12" s="28" t="str">
        <x:v>Đưa tài nguyên hiện hữu vào governance</x:v>
      </x:c>
      <x:c r="C12" s="28" t="str">
        <x:v>Cấu hình lệch có thể tạo update/replace</x:v>
      </x:c>
      <x:c r="D12" s="28" t="str">
        <x:v>Không cần migration ban đầu</x:v>
      </x:c>
      <x:c r="E12" s="28" t="str">
        <x:v>Tiếp tục duy trì thủ công</x:v>
      </x:c>
      <x:c r="F12" s="36" t="str">
        <x:v>Ngoài yêu cầu gốc</x:v>
      </x:c>
    </x:row>
    <x:row r="13"/>
    <x:row r="14"/>
    <x:row r="15" ht="15" hidden="0" customHeight="1">
      <x:c r="A15" s="6" t="str">
        <x:v>Ranh giới áp dụng trong PoC</x:v>
      </x:c>
      <x:c r="B15" s="7"/>
      <x:c r="C15" s="7"/>
      <x:c r="D15" s="7"/>
      <x:c r="E15" s="7"/>
      <x:c r="F15" s="8"/>
    </x:row>
    <x:row r="16" ht="26.399999618530273" hidden="0" customHeight="1">
      <x:c r="A16" s="10" t="str">
        <x:v>Trong PoC</x:v>
      </x:c>
      <x:c r="B16" s="11" t="str">
        <x:v>Terraform quản lý team và direct team membership đã khai báo.</x:v>
      </x:c>
      <x:c r="C16" t="str"/>
      <x:c r="D16" t="str"/>
      <x:c r="E16" t="str"/>
      <x:c r="F16" t="str"/>
    </x:row>
    <x:row r="17" ht="26.399999618530273" hidden="0" customHeight="1">
      <x:c r="A17" s="10" t="str">
        <x:v>Phụ thuộc Task 1</x:v>
      </x:c>
      <x:c r="B17" s="11" t="str">
        <x:v>Org member phải tồn tại và active trước khi Task 2 thêm vào team.</x:v>
      </x:c>
      <x:c r="C17" t="str"/>
      <x:c r="D17" t="str"/>
      <x:c r="E17" t="str"/>
      <x:c r="F17" t="str"/>
    </x:row>
    <x:row r="18" ht="39.599998474121094" hidden="0" customHeight="1">
      <x:c r="A18" s="10" t="str">
        <x:v>Manual UI</x:v>
      </x:c>
      <x:c r="B18" s="11" t="str">
        <x:v>Dùng để đối chiếu kết quả và xử lý bước thuộc Task 1; không tính là bằng chứng IaC Task 2.</x:v>
      </x:c>
      <x:c r="C18" t="str"/>
      <x:c r="D18" t="str"/>
      <x:c r="E18" t="str"/>
      <x:c r="F18" t="str"/>
    </x:row>
    <x:row r="19" ht="39.599998474121094" hidden="0" customHeight="1">
      <x:c r="A19" s="10" t="str">
        <x:v>Ngoài phạm vi</x:v>
      </x:c>
      <x:c r="B19" s="11" t="str">
        <x:v>Org membership lifecycle, repository permission, IdP/SCIM và production rollout.</x:v>
      </x:c>
      <x:c r="C19" t="str"/>
      <x:c r="D19" t="str"/>
      <x:c r="E19" t="str"/>
      <x:c r="F19" t="str"/>
    </x:row>
  </x:sheetData>
  <x:pageMargins left="0.7" right="0.7" top="0.75" bottom="0.75" header="0.3" footer="0.3"/>
  <x:tableParts count="1">
    <x:tablePart xmlns:r="http://schemas.openxmlformats.org/officeDocument/2006/relationships" r:id="Rd8abf15a37ae4e38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30" hidden="0" customWidth="1"/>
    <x:col min="5" max="5" width="30" hidden="0" customWidth="1"/>
    <x:col min="6" max="6" width="18" hidden="0" customWidth="1"/>
    <x:col min="7" max="7" width="10" hidden="0" customWidth="1"/>
    <x:col min="8" max="8" width="10" hidden="0" customWidth="1"/>
    <x:col min="9" max="9" width="18" hidden="0" customWidth="1"/>
  </x:cols>
  <x:sheetData>
    <x:row r="1" ht="24" hidden="0" customHeight="1">
      <x:c r="A1" s="40" t="str">
        <x:v>Cách áp dụng sau PoC</x:v>
      </x:c>
      <x:c r="B1" s="41"/>
      <x:c r="C1" s="41"/>
      <x:c r="D1" s="41"/>
      <x:c r="E1" s="41"/>
      <x:c r="F1" s="41"/>
      <x:c r="G1" s="41"/>
      <x:c r="H1" s="41"/>
      <x:c r="I1" s="41"/>
    </x:row>
    <x:row r="2" ht="24" hidden="0" customHeight="1">
      <x:c r="A2" s="3" t="str">
        <x:v>Triển khai theo từng giai đoạn; PoC đã chứng minh lifecycle tối thiểu trong sandbox</x:v>
      </x:c>
      <x:c r="B2" s="3"/>
      <x:c r="C2" s="3"/>
      <x:c r="D2" s="3"/>
      <x:c r="E2" s="3"/>
      <x:c r="F2" s="3"/>
      <x:c r="G2" s="3"/>
      <x:c r="H2" s="3"/>
      <x:c r="I2" s="3"/>
    </x:row>
    <x:row r="3"/>
    <x:row r="4" ht="15" hidden="0" customHeight="1">
      <x:c r="A4" s="23" t="str">
        <x:v>Phase</x:v>
      </x:c>
      <x:c r="B4" s="23" t="str">
        <x:v>Mục tiêu</x:v>
      </x:c>
      <x:c r="C4" s="23" t="str">
        <x:v>Phạm vi</x:v>
      </x:c>
      <x:c r="D4" s="23" t="str">
        <x:v>Deliverable</x:v>
      </x:c>
      <x:c r="E4" s="23" t="str">
        <x:v>Exit criteria</x:v>
      </x:c>
      <x:c r="F4" s="23" t="str">
        <x:v>Owner</x:v>
      </x:c>
      <x:c r="G4" s="23" t="str">
        <x:v>Tuần</x:v>
      </x:c>
      <x:c r="H4" s="23" t="str">
        <x:v>Bắt đầu</x:v>
      </x:c>
      <x:c r="I4" s="23" t="str">
        <x:v>Trạng thái</x:v>
      </x:c>
    </x:row>
    <x:row r="5" ht="56" hidden="0" customHeight="1">
      <x:c r="A5" s="27" t="str">
        <x:v>0. PoC</x:v>
      </x:c>
      <x:c r="B5" s="27" t="str">
        <x:v>Chứng minh lifecycle</x:v>
      </x:c>
      <x:c r="C5" s="27" t="str">
        <x:v>Team + direct membership</x:v>
      </x:c>
      <x:c r="D5" s="27" t="str">
        <x:v>Plan/apply/API/state evidence</x:v>
      </x:c>
      <x:c r="E5" s="27" t="str">
        <x:v>Create/update/delete và add/role/remove đạt</x:v>
      </x:c>
      <x:c r="F5" s="27" t="str">
        <x:v>Platform</x:v>
      </x:c>
      <x:c r="G5" s="31" t="n">
        <x:v>1</x:v>
      </x:c>
      <x:c r="H5" s="31" t="n">
        <x:v>1</x:v>
      </x:c>
      <x:c r="I5" s="27" t="str">
        <x:v>Hoàn tất</x:v>
      </x:c>
    </x:row>
    <x:row r="6" ht="56" hidden="0" customHeight="1">
      <x:c r="A6" s="28" t="str">
        <x:v>1. Foundation</x:v>
      </x:c>
      <x:c r="B6" s="28" t="str">
        <x:v>An toàn state và auth</x:v>
      </x:c>
      <x:c r="C6" s="28" t="str">
        <x:v>Backend lock + credential</x:v>
      </x:c>
      <x:c r="D6" s="28" t="str">
        <x:v>Remote state; GitHub App/PAT model</x:v>
      </x:c>
      <x:c r="E6" s="28" t="str">
        <x:v>Locking và least privilege đạt</x:v>
      </x:c>
      <x:c r="F6" s="28" t="str">
        <x:v>Platform lead</x:v>
      </x:c>
      <x:c r="G6" s="32" t="n">
        <x:v>2</x:v>
      </x:c>
      <x:c r="H6" s="32" t="n">
        <x:f>H5+G5</x:f>
        <x:v>2</x:v>
      </x:c>
      <x:c r="I6" s="28" t="str">
        <x:v>Chưa bắt đầu</x:v>
      </x:c>
    </x:row>
    <x:row r="7" ht="56" hidden="0" customHeight="1">
      <x:c r="A7" s="28" t="str">
        <x:v>2. Workflow</x:v>
      </x:c>
      <x:c r="B7" s="28" t="str">
        <x:v>Review trước apply</x:v>
      </x:c>
      <x:c r="C7" s="28" t="str">
        <x:v>CI + PR</x:v>
      </x:c>
      <x:c r="D7" s="28" t="str">
        <x:v>Plan artifact; approval; apply job</x:v>
      </x:c>
      <x:c r="E7" s="28" t="str">
        <x:v>Destroy/replace có reviewer</x:v>
      </x:c>
      <x:c r="F7" s="28" t="str">
        <x:v>Platform</x:v>
      </x:c>
      <x:c r="G7" s="32" t="n">
        <x:v>2</x:v>
      </x:c>
      <x:c r="H7" s="32" t="n">
        <x:f>H6+G6</x:f>
        <x:v>4</x:v>
      </x:c>
      <x:c r="I7" s="28" t="str">
        <x:v>Chưa bắt đầu</x:v>
      </x:c>
    </x:row>
    <x:row r="8" ht="56" hidden="0" customHeight="1">
      <x:c r="A8" s="28" t="str">
        <x:v>3. Pilot</x:v>
      </x:c>
      <x:c r="B8" s="28" t="str">
        <x:v>Import scope nhỏ</x:v>
      </x:c>
      <x:c r="C8" s="28" t="str">
        <x:v>2–3 team không critical</x:v>
      </x:c>
      <x:c r="D8" s="28" t="str">
        <x:v>Team catalog + import evidence</x:v>
      </x:c>
      <x:c r="E8" s="28" t="str">
        <x:v>Hai chu kỳ thay đổi hội tụ</x:v>
      </x:c>
      <x:c r="F8" s="28" t="str">
        <x:v>Platform + team lead</x:v>
      </x:c>
      <x:c r="G8" s="32" t="n">
        <x:v>3</x:v>
      </x:c>
      <x:c r="H8" s="32" t="n">
        <x:f>H7+G7</x:f>
        <x:v>6</x:v>
      </x:c>
      <x:c r="I8" s="28" t="str">
        <x:v>Chưa bắt đầu</x:v>
      </x:c>
    </x:row>
    <x:row r="9" ht="56" hidden="0" customHeight="1">
      <x:c r="A9" s="28" t="str">
        <x:v>4. BAU</x:v>
      </x:c>
      <x:c r="B9" s="28" t="str">
        <x:v>Vận hành định kỳ</x:v>
      </x:c>
      <x:c r="C9" s="28" t="str">
        <x:v>Drift + break-glass</x:v>
      </x:c>
      <x:c r="D9" s="28" t="str">
        <x:v>Scheduled plan; runbook; audit</x:v>
      </x:c>
      <x:c r="E9" s="28" t="str">
        <x:v>UI change được reconcile</x:v>
      </x:c>
      <x:c r="F9" s="28" t="str">
        <x:v>Platform ops</x:v>
      </x:c>
      <x:c r="G9" s="32" t="n">
        <x:v>2</x:v>
      </x:c>
      <x:c r="H9" s="32" t="n">
        <x:f>H8+G8</x:f>
        <x:v>9</x:v>
      </x:c>
      <x:c r="I9" s="28" t="str">
        <x:v>Chưa bắt đầu</x:v>
      </x:c>
    </x:row>
    <x:row r="10"/>
    <x:row r="11"/>
    <x:row r="12" ht="15" hidden="0" customHeight="1">
      <x:c r="A12" s="6" t="str">
        <x:v>Điều kiện không được bỏ qua</x:v>
      </x:c>
      <x:c r="B12" s="7"/>
      <x:c r="C12" s="7"/>
      <x:c r="D12" s="7"/>
      <x:c r="E12" s="7"/>
      <x:c r="F12" s="7"/>
      <x:c r="G12" s="7"/>
      <x:c r="H12" s="7"/>
      <x:c r="I12" s="8"/>
    </x:row>
    <x:row r="13" ht="15" hidden="0" customHeight="1">
      <x:c r="A13" s="23" t="str">
        <x:v>Điều kiện</x:v>
      </x:c>
      <x:c r="B13" s="23" t="str">
        <x:v>Tại sao</x:v>
      </x:c>
      <x:c r="C13" s="23" t="str">
        <x:v>Quyết định</x:v>
      </x:c>
    </x:row>
    <x:row r="14" ht="24" hidden="0" customHeight="1">
      <x:c r="A14" s="27" t="str">
        <x:v>Ranh giới ownership</x:v>
      </x:c>
      <x:c r="B14" s="27" t="str">
        <x:v>Org Members và Org Teams có lifecycle khác nhau</x:v>
      </x:c>
      <x:c r="C14" s="27" t="str">
        <x:v>Tách state/module hoặc owner rõ</x:v>
      </x:c>
    </x:row>
    <x:row r="15" ht="24" hidden="0" customHeight="1">
      <x:c r="A15" s="28" t="str">
        <x:v>Remote state + locking</x:v>
      </x:c>
      <x:c r="B15" s="28" t="str">
        <x:v>Nhiều admin không được apply cùng state</x:v>
      </x:c>
      <x:c r="C15" s="28" t="str">
        <x:v>Bắt buộc trước pilot</x:v>
      </x:c>
    </x:row>
    <x:row r="16" ht="24" hidden="0" customHeight="1">
      <x:c r="A16" s="28" t="str">
        <x:v>Plan trước destructive apply</x:v>
      </x:c>
      <x:c r="B16" s="28" t="str">
        <x:v>Team delete có thể ảnh hưởng access và child team</x:v>
      </x:c>
      <x:c r="C16" s="28" t="str">
        <x:v>Bắt buộc mọi environment</x:v>
      </x:c>
    </x:row>
    <x:row r="17" ht="24" hidden="0" customHeight="1">
      <x:c r="A17" s="28" t="str">
        <x:v>Inventory direct/inherited</x:v>
      </x:c>
      <x:c r="B17" s="28" t="str">
        <x:v>Nested team làm membership khó đọc</x:v>
      </x:c>
      <x:c r="C17" s="28" t="str">
        <x:v>Bắt buộc trước import</x:v>
      </x:c>
    </x:row>
  </x:sheetData>
  <x:conditionalFormatting sqref="I5:I9">
    <x:cfRule type="cellIs" dxfId="5" priority="1" operator="equal">
      <x:formula>"Đạt"</x:formula>
    </x:cfRule>
    <x:cfRule type="cellIs" dxfId="6" priority="2" operator="equal">
      <x:formula>"Hoàn tất"</x:formula>
    </x:cfRule>
    <x:cfRule type="cellIs" dxfId="7" priority="3" operator="equal">
      <x:formula>"Đạt một phần"</x:formula>
    </x:cfRule>
    <x:cfRule type="cellIs" dxfId="8" priority="4" operator="equal">
      <x:formula>"Chưa chạy"</x:formula>
    </x:cfRule>
    <x:cfRule type="cellIs" dxfId="9" priority="5" operator="equal">
      <x:formula>"Chặn"</x:formula>
    </x:cfRule>
  </x:conditionalFormatting>
  <x:dataValidations count="1">
    <x:dataValidation type="list" sqref="I5:I9">
      <x:formula1>"Hoàn tất,Đang làm,Chưa bắt đầu,Chặn"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96157278b84e8f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31" hidden="0" customWidth="1"/>
    <x:col min="4" max="4" width="31" hidden="0" customWidth="1"/>
    <x:col min="5" max="5" width="17" hidden="0" customWidth="1"/>
    <x:col min="6" max="6" width="18" hidden="0" customWidth="1"/>
    <x:col min="7" max="7" width="31" hidden="0" customWidth="1"/>
  </x:cols>
  <x:sheetData>
    <x:row r="1" ht="24" hidden="0" customHeight="1">
      <x:c r="A1" s="40" t="str">
        <x:v>Bằng chứng và giới hạn</x:v>
      </x:c>
      <x:c r="B1" s="41"/>
      <x:c r="C1" s="41"/>
      <x:c r="D1" s="41"/>
      <x:c r="E1" s="41"/>
      <x:c r="F1" s="41"/>
      <x:c r="G1" s="41"/>
    </x:row>
    <x:row r="2" ht="24" hidden="0" customHeight="1">
      <x:c r="A2" s="3" t="str">
        <x:v>Task gốc đã hoàn tất live; các phần mở rộng và production controls vẫn cần đánh giá riêng</x:v>
      </x:c>
      <x:c r="B2" s="3"/>
      <x:c r="C2" s="3"/>
      <x:c r="D2" s="3"/>
      <x:c r="E2" s="3"/>
      <x:c r="F2" s="3"/>
      <x:c r="G2" s="3"/>
    </x:row>
    <x:row r="3"/>
    <x:row r="4" ht="15" hidden="0" customHeight="1">
      <x:c r="A4" s="23" t="str">
        <x:v>Đã đạt</x:v>
      </x:c>
      <x:c r="B4" s="23" t="str">
        <x:v>Đạt một phần</x:v>
      </x:c>
      <x:c r="C4" s="23" t="str">
        <x:v>Chưa chạy</x:v>
      </x:c>
      <x:c r="D4" s="23" t="str">
        <x:v>Chặn</x:v>
      </x:c>
    </x:row>
    <x:row r="5" ht="16.799999237060547" hidden="0" customHeight="1">
      <x:c r="A5" s="39" t="n">
        <x:f>COUNTIF($E$9:$E$20,"Đạt")</x:f>
        <x:v>8</x:v>
      </x:c>
      <x:c r="B5" s="39" t="n">
        <x:f>COUNTIF($E$9:$E$20,"Đạt một phần")</x:f>
        <x:v>0</x:v>
      </x:c>
      <x:c r="C5" s="39" t="n">
        <x:f>COUNTIF($E$9:$E$20,"Chưa chạy")</x:f>
        <x:v>4</x:v>
      </x:c>
      <x:c r="D5" s="39" t="n">
        <x:f>COUNTIF($E$9:$E$20,"Chặn")</x:f>
        <x:v>0</x:v>
      </x:c>
    </x:row>
    <x:row r="6"/>
    <x:row r="7"/>
    <x:row r="8" ht="15" hidden="0" customHeight="1">
      <x:c r="A8" s="23" t="str">
        <x:v>ID</x:v>
      </x:c>
      <x:c r="B8" s="23" t="str">
        <x:v>Yêu cầu</x:v>
      </x:c>
      <x:c r="C8" s="23" t="str">
        <x:v>Phạm vi</x:v>
      </x:c>
      <x:c r="D8" s="23" t="str">
        <x:v>Bằng chứng hiện tại</x:v>
      </x:c>
      <x:c r="E8" s="23" t="str">
        <x:v>Trạng thái</x:v>
      </x:c>
      <x:c r="F8" s="23" t="str">
        <x:v>Owner</x:v>
      </x:c>
      <x:c r="G8" s="23" t="str">
        <x:v>Bước kế tiếp</x:v>
      </x:c>
    </x:row>
    <x:row r="9" ht="50" hidden="0" customHeight="1">
      <x:c r="A9" s="27" t="str">
        <x:v>TEAM-CREATE</x:v>
      </x:c>
      <x:c r="B9" s="27" t="str">
        <x:v>Create team</x:v>
      </x:c>
      <x:c r="C9" s="27" t="str">
        <x:v>Yêu cầu gốc</x:v>
      </x:c>
      <x:c r="D9" s="27" t="str">
        <x:v>Live: 2 add; team ID 19806617</x:v>
      </x:c>
      <x:c r="E9" s="27" t="str">
        <x:v>Đạt</x:v>
      </x:c>
      <x:c r="F9" s="27" t="str">
        <x:v>Task 2</x:v>
      </x:c>
      <x:c r="G9" s="27" t="str">
        <x:v>Giữ evidence</x:v>
      </x:c>
    </x:row>
    <x:row r="10" ht="50" hidden="0" customHeight="1">
      <x:c r="A10" s="28" t="str">
        <x:v>TEAM-UPDATE</x:v>
      </x:c>
      <x:c r="B10" s="28" t="str">
        <x:v>Update team</x:v>
      </x:c>
      <x:c r="C10" s="28" t="str">
        <x:v>Yêu cầu gốc</x:v>
      </x:c>
      <x:c r="D10" s="28" t="str">
        <x:v>Live: update in-place; giữ ID 19806617</x:v>
      </x:c>
      <x:c r="E10" s="28" t="str">
        <x:v>Đạt</x:v>
      </x:c>
      <x:c r="F10" s="28" t="str">
        <x:v>Task 2</x:v>
      </x:c>
      <x:c r="G10" s="28" t="str">
        <x:v>Giữ evidence</x:v>
      </x:c>
    </x:row>
    <x:row r="11" ht="50" hidden="0" customHeight="1">
      <x:c r="A11" s="28" t="str">
        <x:v>TEAM-DELETE</x:v>
      </x:c>
      <x:c r="B11" s="28" t="str">
        <x:v>Delete team</x:v>
      </x:c>
      <x:c r="C11" s="28" t="str">
        <x:v>Yêu cầu gốc</x:v>
      </x:c>
      <x:c r="D11" s="28" t="str">
        <x:v>Live: plan review; team 404; state empty</x:v>
      </x:c>
      <x:c r="E11" s="28" t="str">
        <x:v>Đạt</x:v>
      </x:c>
      <x:c r="F11" s="28" t="str">
        <x:v>Task 2</x:v>
      </x:c>
      <x:c r="G11" s="28" t="str">
        <x:v>Giữ destructive gate</x:v>
      </x:c>
    </x:row>
    <x:row r="12" ht="50" hidden="0" customHeight="1">
      <x:c r="A12" s="28" t="str">
        <x:v>MEMBER-ADD</x:v>
      </x:c>
      <x:c r="B12" s="28" t="str">
        <x:v>Add member vào team</x:v>
      </x:c>
      <x:c r="C12" s="28" t="str">
        <x:v>Yêu cầu gốc</x:v>
      </x:c>
      <x:c r="D12" s="28" t="str">
        <x:v>Live: phuc776 active/member</x:v>
      </x:c>
      <x:c r="E12" s="28" t="str">
        <x:v>Đạt</x:v>
      </x:c>
      <x:c r="F12" s="28" t="str">
        <x:v>Task 2</x:v>
      </x:c>
      <x:c r="G12" s="28" t="str">
        <x:v>Giữ active-member guard</x:v>
      </x:c>
    </x:row>
    <x:row r="13" ht="50" hidden="0" customHeight="1">
      <x:c r="A13" s="28" t="str">
        <x:v>MEMBER-ROLE</x:v>
      </x:c>
      <x:c r="B13" s="28" t="str">
        <x:v>Đổi team role</x:v>
      </x:c>
      <x:c r="C13" s="28" t="str">
        <x:v>Yêu cầu gốc</x:v>
      </x:c>
      <x:c r="D13" s="28" t="str">
        <x:v>Live: member → maintainer in-place</x:v>
      </x:c>
      <x:c r="E13" s="28" t="str">
        <x:v>Đạt</x:v>
      </x:c>
      <x:c r="F13" s="28" t="str">
        <x:v>Task 2</x:v>
      </x:c>
      <x:c r="G13" s="28" t="str">
        <x:v>Org role không đổi</x:v>
      </x:c>
    </x:row>
    <x:row r="14" ht="50" hidden="0" customHeight="1">
      <x:c r="A14" s="28" t="str">
        <x:v>MEMBER-REMOVE</x:v>
      </x:c>
      <x:c r="B14" s="28" t="str">
        <x:v>Remove member khỏi team</x:v>
      </x:c>
      <x:c r="C14" s="28" t="str">
        <x:v>Yêu cầu gốc</x:v>
      </x:c>
      <x:c r="D14" s="28" t="str">
        <x:v>Live: relationship 404; org active/member</x:v>
      </x:c>
      <x:c r="E14" s="28" t="str">
        <x:v>Đạt</x:v>
      </x:c>
      <x:c r="F14" s="28" t="str">
        <x:v>Task 2</x:v>
      </x:c>
      <x:c r="G14" s="28" t="str">
        <x:v>Giữ boundary</x:v>
      </x:c>
    </x:row>
    <x:row r="15" ht="50" hidden="0" customHeight="1">
      <x:c r="A15" s="28" t="str">
        <x:v>CONVERGE</x:v>
      </x:c>
      <x:c r="B15" s="28" t="str">
        <x:v>Plan sau apply</x:v>
      </x:c>
      <x:c r="C15" s="28" t="str">
        <x:v>Xác minh state</x:v>
      </x:c>
      <x:c r="D15" s="28" t="str">
        <x:v>Live: exit 0 sau mỗi flow</x:v>
      </x:c>
      <x:c r="E15" s="28" t="str">
        <x:v>Đạt</x:v>
      </x:c>
      <x:c r="F15" s="28" t="str">
        <x:v>Task 2</x:v>
      </x:c>
      <x:c r="G15" s="28" t="str">
        <x:v>Bắt buộc trong pipeline</x:v>
      </x:c>
    </x:row>
    <x:row r="16" ht="50" hidden="0" customHeight="1">
      <x:c r="A16" s="28" t="str">
        <x:v>BOUNDARY</x:v>
      </x:c>
      <x:c r="B16" s="28" t="str">
        <x:v>Org member không bị xóa</x:v>
      </x:c>
      <x:c r="C16" s="28" t="str">
        <x:v>Task 1/2</x:v>
      </x:c>
      <x:c r="D16" s="28" t="str">
        <x:v>Live: cả hai user còn active sau cleanup</x:v>
      </x:c>
      <x:c r="E16" s="28" t="str">
        <x:v>Đạt</x:v>
      </x:c>
      <x:c r="F16" s="28" t="str">
        <x:v>Task 2</x:v>
      </x:c>
      <x:c r="G16" s="28" t="str">
        <x:v>Tách ownership</x:v>
      </x:c>
    </x:row>
    <x:row r="17" ht="50" hidden="0" customHeight="1">
      <x:c r="A17" s="28" t="str">
        <x:v>NESTED</x:v>
      </x:c>
      <x:c r="B17" s="28" t="str">
        <x:v>Parent/child team</x:v>
      </x:c>
      <x:c r="C17" s="28" t="str">
        <x:v>Mở rộng</x:v>
      </x:c>
      <x:c r="D17" s="28" t="str">
        <x:v>Mock/preview; chưa live</x:v>
      </x:c>
      <x:c r="E17" s="28" t="str">
        <x:v>Chưa chạy</x:v>
      </x:c>
      <x:c r="F17" s="28" t="str">
        <x:v>Platform</x:v>
      </x:c>
      <x:c r="G17" s="28" t="str">
        <x:v>Đánh giá trước pilot</x:v>
      </x:c>
    </x:row>
    <x:row r="18" ht="50" hidden="0" customHeight="1">
      <x:c r="A18" s="28" t="str">
        <x:v>DRIFT</x:v>
      </x:c>
      <x:c r="B18" s="28" t="str">
        <x:v>Manual UI drift</x:v>
      </x:c>
      <x:c r="C18" s="28" t="str">
        <x:v>Mở rộng</x:v>
      </x:c>
      <x:c r="D18" s="28" t="str">
        <x:v>Chưa chạy</x:v>
      </x:c>
      <x:c r="E18" s="28" t="str">
        <x:v>Chưa chạy</x:v>
      </x:c>
      <x:c r="F18" s="28" t="str">
        <x:v>Platform</x:v>
      </x:c>
      <x:c r="G18" s="28" t="str">
        <x:v>Scheduled plan</x:v>
      </x:c>
    </x:row>
    <x:row r="19" ht="50" hidden="0" customHeight="1">
      <x:c r="A19" s="28" t="str">
        <x:v>IMPORT</x:v>
      </x:c>
      <x:c r="B19" s="28" t="str">
        <x:v>Import team cũ</x:v>
      </x:c>
      <x:c r="C19" s="28" t="str">
        <x:v>Mở rộng</x:v>
      </x:c>
      <x:c r="D19" s="28" t="str">
        <x:v>Chưa chạy</x:v>
      </x:c>
      <x:c r="E19" s="28" t="str">
        <x:v>Chưa chạy</x:v>
      </x:c>
      <x:c r="F19" s="28" t="str">
        <x:v>Platform</x:v>
      </x:c>
      <x:c r="G19" s="28" t="str">
        <x:v>Pilot team disposable</x:v>
      </x:c>
    </x:row>
    <x:row r="20" ht="50" hidden="0" customHeight="1">
      <x:c r="A20" s="28" t="str">
        <x:v>PROD</x:v>
      </x:c>
      <x:c r="B20" s="28" t="str">
        <x:v>State/auth/CI</x:v>
      </x:c>
      <x:c r="C20" s="28" t="str">
        <x:v>Production</x:v>
      </x:c>
      <x:c r="D20" s="28" t="str">
        <x:v>State local; chưa pipeline/GitHub App</x:v>
      </x:c>
      <x:c r="E20" s="28" t="str">
        <x:v>Chưa chạy</x:v>
      </x:c>
      <x:c r="F20" s="28" t="str">
        <x:v>Platform lead</x:v>
      </x:c>
      <x:c r="G20" s="28" t="str">
        <x:v>Foundation phase</x:v>
      </x:c>
    </x:row>
    <x:row r="21"/>
    <x:row r="22"/>
    <x:row r="23" ht="15" hidden="0" customHeight="1">
      <x:c r="A23" s="6" t="str">
        <x:v>Limitation cần ghi trong kết luận</x:v>
      </x:c>
      <x:c r="B23" s="7"/>
      <x:c r="C23" s="7"/>
      <x:c r="D23" s="7"/>
      <x:c r="E23" s="7"/>
      <x:c r="F23" s="7"/>
      <x:c r="G23" s="8"/>
    </x:row>
    <x:row r="24" ht="15" hidden="0" customHeight="1">
      <x:c r="A24" s="23" t="str">
        <x:v>Limitation</x:v>
      </x:c>
      <x:c r="B24" s="23" t="str">
        <x:v>Liên quan</x:v>
      </x:c>
      <x:c r="C24" s="23" t="str">
        <x:v>Quan sát</x:v>
      </x:c>
      <x:c r="D24" s="23" t="str">
        <x:v>Cách ghi report</x:v>
      </x:c>
      <x:c r="E24" s="23" t="str">
        <x:v>Ảnh hưởng</x:v>
      </x:c>
      <x:c r="F24" s="23" t="str">
        <x:v>Owner</x:v>
      </x:c>
      <x:c r="G24" s="23" t="str">
        <x:v>Trạng thái</x:v>
      </x:c>
    </x:row>
    <x:row r="25" ht="48" hidden="0" customHeight="1">
      <x:c r="A25" s="27" t="str">
        <x:v>Org Members tách Task 1</x:v>
      </x:c>
      <x:c r="B25" s="27" t="str">
        <x:v>Invitation/org role/remove</x:v>
      </x:c>
      <x:c r="C25" s="27" t="str">
        <x:v>Task 2 chỉ lookup read-only</x:v>
      </x:c>
      <x:c r="D25" s="27" t="str">
        <x:v>Tách state và ownership</x:v>
      </x:c>
      <x:c r="E25" s="27" t="str">
        <x:v>Tránh xóa nhầm org member</x:v>
      </x:c>
      <x:c r="F25" s="27" t="str">
        <x:v>Org admin</x:v>
      </x:c>
      <x:c r="G25" s="27" t="str">
        <x:v>Đã giữ boundary</x:v>
      </x:c>
    </x:row>
    <x:row r="26" ht="48" hidden="0" customHeight="1">
      <x:c r="A26" s="28" t="str">
        <x:v>State local</x:v>
      </x:c>
      <x:c r="B26" s="28" t="str">
        <x:v>Nhiều admin</x:v>
      </x:c>
      <x:c r="C26" s="28" t="str">
        <x:v>Không có locking hoặc shared backup</x:v>
      </x:c>
      <x:c r="D26" s="28" t="str">
        <x:v>Remote backend trước pilot</x:v>
      </x:c>
      <x:c r="E26" s="28" t="str">
        <x:v>Chưa production</x:v>
      </x:c>
      <x:c r="F26" s="28" t="str">
        <x:v>Platform lead</x:v>
      </x:c>
      <x:c r="G26" s="28" t="str">
        <x:v>Còn việc</x:v>
      </x:c>
    </x:row>
    <x:row r="27" ht="48" hidden="0" customHeight="1">
      <x:c r="A27" s="28" t="str">
        <x:v>Credential cá nhân</x:v>
      </x:c>
      <x:c r="B27" s="28" t="str">
        <x:v>Authentication</x:v>
      </x:c>
      <x:c r="C27" s="28" t="str">
        <x:v>PoC dùng credential process-local</x:v>
      </x:c>
      <x:c r="D27" s="28" t="str">
        <x:v>GitHub App/PAT chuyên dụng</x:v>
      </x:c>
      <x:c r="E27" s="28" t="str">
        <x:v>Chưa production</x:v>
      </x:c>
      <x:c r="F27" s="28" t="str">
        <x:v>Org admin</x:v>
      </x:c>
      <x:c r="G27" s="28" t="str">
        <x:v>Còn việc</x:v>
      </x:c>
    </x:row>
    <x:row r="28" ht="48" hidden="0" customHeight="1">
      <x:c r="A28" s="28" t="str">
        <x:v>Membership là additive</x:v>
      </x:c>
      <x:c r="B28" s="28" t="str">
        <x:v>Direct membership</x:v>
      </x:c>
      <x:c r="C28" s="28" t="str">
        <x:v>User ngoài config không tự bị xóa</x:v>
      </x:c>
      <x:c r="D28" s="28" t="str">
        <x:v>Nêu behavior, không claim authoritative list</x:v>
      </x:c>
      <x:c r="E28" s="28" t="str">
        <x:v>Giới hạn governance</x:v>
      </x:c>
      <x:c r="F28" s="28" t="str">
        <x:v>Task 2</x:v>
      </x:c>
      <x:c r="G28" s="28" t="str">
        <x:v>Đã biết</x:v>
      </x:c>
    </x:row>
    <x:row r="29" ht="48" hidden="0" customHeight="1">
      <x:c r="A29" s="28" t="str">
        <x:v>Inherited membership</x:v>
      </x:c>
      <x:c r="B29" s="28" t="str">
        <x:v>Nested team</x:v>
      </x:c>
      <x:c r="C29" s="28" t="str">
        <x:v>Direct và inherited có thể khác nhau</x:v>
      </x:c>
      <x:c r="D29" s="28" t="str">
        <x:v>Chỉ claim direct relationship</x:v>
      </x:c>
      <x:c r="E29" s="28" t="str">
        <x:v>Cần kiểm tra riêng</x:v>
      </x:c>
      <x:c r="F29" s="28" t="str">
        <x:v>Task 2</x:v>
      </x:c>
      <x:c r="G29" s="28" t="str">
        <x:v>Mở rộng</x:v>
      </x:c>
    </x:row>
    <x:row r="30" ht="48" hidden="0" customHeight="1">
      <x:c r="A30" s="28" t="str">
        <x:v>IdP-synchronized team</x:v>
      </x:c>
      <x:c r="B30" s="28" t="str">
        <x:v>Team membership</x:v>
      </x:c>
      <x:c r="C30" s="28" t="str">
        <x:v>GitHub API chặn thay đổi trực tiếp</x:v>
      </x:c>
      <x:c r="D30" s="28" t="str">
        <x:v>Loại khỏi scope hoặc quản lý ở IdP</x:v>
      </x:c>
      <x:c r="E30" s="28" t="str">
        <x:v>Cần policy riêng</x:v>
      </x:c>
      <x:c r="F30" s="28" t="str">
        <x:v>Identity team</x:v>
      </x:c>
      <x:c r="G30" s="28" t="str">
        <x:v>Mở rộng</x:v>
      </x:c>
    </x:row>
    <x:row r="31"/>
    <x:row r="32"/>
    <x:row r="33" ht="15" hidden="0" customHeight="1">
      <x:c r="A33" s="23" t="str">
        <x:v>Nguồn</x:v>
      </x:c>
      <x:c r="B33" s="23" t="str">
        <x:v>URL</x:v>
      </x:c>
    </x:row>
    <x:row r="34" ht="36" hidden="0" customHeight="1">
      <x:c r="A34" s="27" t="str">
        <x:v>GitHub Provider</x:v>
      </x:c>
      <x:c r="B34" s="27" t="str">
        <x:v>https://github.com/integrations/terraform-provider-github/tree/v6.13.0/docs</x:v>
      </x:c>
    </x:row>
    <x:row r="35" ht="36" hidden="0" customHeight="1">
      <x:c r="A35" s="28" t="str">
        <x:v>Team resource</x:v>
      </x:c>
      <x:c r="B35" s="28" t="str">
        <x:v>https://registry.terraform.io/providers/integrations/github/latest/docs/resources/team</x:v>
      </x:c>
    </x:row>
    <x:row r="36" ht="36" hidden="0" customHeight="1">
      <x:c r="A36" s="28" t="str">
        <x:v>Team membership resource</x:v>
      </x:c>
      <x:c r="B36" s="28" t="str">
        <x:v>https://registry.terraform.io/providers/integrations/github/latest/docs/resources/team_membership</x:v>
      </x:c>
    </x:row>
    <x:row r="37" ht="24" hidden="0" customHeight="1">
      <x:c r="A37" s="28" t="str">
        <x:v>GitHub team API</x:v>
      </x:c>
      <x:c r="B37" s="28" t="str">
        <x:v>https://docs.github.com/en/rest/teams/teams</x:v>
      </x:c>
    </x:row>
    <x:row r="38" ht="24" hidden="0" customHeight="1">
      <x:c r="A38" s="28" t="str">
        <x:v>GitHub organization membership API</x:v>
      </x:c>
      <x:c r="B38" s="28" t="str">
        <x:v>https://docs.github.com/en/rest/orgs/members</x:v>
      </x:c>
    </x:row>
  </x:sheetData>
  <x:conditionalFormatting sqref="E9:E20">
    <x:cfRule type="cellIs" dxfId="10" priority="1" operator="equal">
      <x:formula>"Đạt"</x:formula>
    </x:cfRule>
    <x:cfRule type="cellIs" dxfId="11" priority="2" operator="equal">
      <x:formula>"Hoàn tất"</x:formula>
    </x:cfRule>
    <x:cfRule type="cellIs" dxfId="12" priority="3" operator="equal">
      <x:formula>"Đạt một phần"</x:formula>
    </x:cfRule>
    <x:cfRule type="cellIs" dxfId="13" priority="4" operator="equal">
      <x:formula>"Chưa chạy"</x:formula>
    </x:cfRule>
    <x:cfRule type="cellIs" dxfId="14" priority="5" operator="equal">
      <x:formula>"Chặn"</x:formula>
    </x:cfRule>
  </x:conditionalFormatting>
  <x:dataValidations count="1">
    <x:dataValidation type="list" sqref="E9:E20">
      <x:formula1>"Đạt,Đạt một phần,Chưa chạy,Chặn"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07c9321df0e4322"/>
    <x:tablePart xmlns:r="http://schemas.openxmlformats.org/officeDocument/2006/relationships" r:id="Rade040bbccf44585"/>
  </x:tableParts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24" hidden="0" customHeight="1">
      <x:c r="A1" s="40" t="str">
        <x:v>Thuật ngữ Terraform và GitHub Provider</x:v>
      </x:c>
      <x:c r="B1" s="41"/>
      <x:c r="C1" s="41"/>
      <x:c r="D1" s="41"/>
      <x:c r="E1" s="41"/>
      <x:c r="F1" s="41"/>
    </x:row>
    <x:row r="2" ht="24" hidden="0" customHeight="1">
      <x:c r="A2" s="3" t="str">
        <x:v>Các khái niệm cần biết khi đọc plan, state và thiết kế cách quản lý organization bằng IaC</x:v>
      </x:c>
      <x:c r="B2" s="3"/>
      <x:c r="C2" s="3"/>
      <x:c r="D2" s="3"/>
      <x:c r="E2" s="3"/>
      <x:c r="F2" s="3"/>
    </x:row>
    <x:row r="3"/>
    <x:row r="4" ht="15" hidden="0" customHeight="1">
      <x:c r="A4" s="6" t="str">
        <x:v>Từ điển áp dụng</x:v>
      </x:c>
      <x:c r="B4" s="7"/>
      <x:c r="C4" s="7"/>
      <x:c r="D4" s="7"/>
      <x:c r="E4" s="7"/>
      <x:c r="F4" s="8"/>
    </x:row>
    <x:row r="5" ht="15" hidden="0" customHeight="1">
      <x:c r="A5" s="23" t="str">
        <x:v>Thuật ngữ</x:v>
      </x:c>
      <x:c r="B5" s="23" t="str">
        <x:v>Loại</x:v>
      </x:c>
      <x:c r="C5" s="23" t="str">
        <x:v>Nghĩa</x:v>
      </x:c>
      <x:c r="D5" s="23" t="str">
        <x:v>Ví dụ trong PoC</x:v>
      </x:c>
      <x:c r="E5" s="23" t="str">
        <x:v>Khi áp dụng</x:v>
      </x:c>
      <x:c r="F5" s="23" t="str">
        <x:v>Lưu ý</x:v>
      </x:c>
    </x:row>
    <x:row r="6" ht="48" hidden="0" customHeight="1">
      <x:c r="A6" s="27" t="str">
        <x:v>Provider</x:v>
      </x:c>
      <x:c r="B6" s="27" t="str">
        <x:v>Terraform</x:v>
      </x:c>
      <x:c r="C6" s="27" t="str">
        <x:v>Plugin kết nối Terraform với GitHub API</x:v>
      </x:c>
      <x:c r="D6" s="27" t="str">
        <x:v>integrations/github 6.13.0</x:v>
      </x:c>
      <x:c r="E6" s="27" t="str">
        <x:v>Mọi resource/data GitHub</x:v>
      </x:c>
      <x:c r="F6" s="27" t="str">
        <x:v>Pin version và lock file</x:v>
      </x:c>
    </x:row>
    <x:row r="7" ht="48" hidden="0" customHeight="1">
      <x:c r="A7" s="28" t="str">
        <x:v>Resource</x:v>
      </x:c>
      <x:c r="B7" s="28" t="str">
        <x:v>Terraform</x:v>
      </x:c>
      <x:c r="C7" s="28" t="str">
        <x:v>Đối tượng Terraform tạo, cập nhật hoặc xóa</x:v>
      </x:c>
      <x:c r="D7" s="28" t="str">
        <x:v>github_team</x:v>
      </x:c>
      <x:c r="E7" s="28" t="str">
        <x:v>Khi IaC sở hữu lifecycle</x:v>
      </x:c>
      <x:c r="F7" s="28" t="str">
        <x:v>Bỏ khỏi config thường tạo destroy</x:v>
      </x:c>
    </x:row>
    <x:row r="8" ht="48" hidden="0" customHeight="1">
      <x:c r="A8" s="28" t="str">
        <x:v>Data source</x:v>
      </x:c>
      <x:c r="B8" s="28" t="str">
        <x:v>Terraform</x:v>
      </x:c>
      <x:c r="C8" s="28" t="str">
        <x:v>Chỉ đọc dữ liệu có sẵn</x:v>
      </x:c>
      <x:c r="D8" s="28" t="str">
        <x:v>data.github_membership.existing</x:v>
      </x:c>
      <x:c r="E8" s="28" t="str">
        <x:v>Kiểm tra prerequisite</x:v>
      </x:c>
      <x:c r="F8" s="28" t="str">
        <x:v>Không gửi invitation trong PoC</x:v>
      </x:c>
    </x:row>
    <x:row r="9" ht="48" hidden="0" customHeight="1">
      <x:c r="A9" s="28" t="str">
        <x:v>Configuration</x:v>
      </x:c>
      <x:c r="B9" s="28" t="str">
        <x:v>Terraform</x:v>
      </x:c>
      <x:c r="C9" s="28" t="str">
        <x:v>Code mô tả trạng thái mong muốn</x:v>
      </x:c>
      <x:c r="D9" s="28" t="str">
        <x:v>teams map trong tfvars</x:v>
      </x:c>
      <x:c r="E9" s="28" t="str">
        <x:v>Review qua Git</x:v>
      </x:c>
      <x:c r="F9" s="28" t="str">
        <x:v>Không chứa token/state</x:v>
      </x:c>
    </x:row>
    <x:row r="10" ht="48" hidden="0" customHeight="1">
      <x:c r="A10" s="28" t="str">
        <x:v>Desired state</x:v>
      </x:c>
      <x:c r="B10" s="28" t="str">
        <x:v>Terraform</x:v>
      </x:c>
      <x:c r="C10" s="28" t="str">
        <x:v>Trạng thái đích khai báo trong code</x:v>
      </x:c>
      <x:c r="D10" s="28" t="str">
        <x:v>Team name, role, privacy</x:v>
      </x:c>
      <x:c r="E10" s="28" t="str">
        <x:v>Plan so sánh với remote</x:v>
      </x:c>
      <x:c r="F10" s="28" t="str">
        <x:v>Khác remote sẽ tạo diff</x:v>
      </x:c>
    </x:row>
    <x:row r="11" ht="48" hidden="0" customHeight="1">
      <x:c r="A11" s="28" t="str">
        <x:v>State</x:v>
      </x:c>
      <x:c r="B11" s="28" t="str">
        <x:v>Terraform</x:v>
      </x:c>
      <x:c r="C11" s="28" t="str">
        <x:v>Ánh xạ resource address với object GitHub</x:v>
      </x:c>
      <x:c r="D11" s="28" t="str">
        <x:v>Team ID 19806617</x:v>
      </x:c>
      <x:c r="E11" s="28" t="str">
        <x:v>Refresh, update, delete</x:v>
      </x:c>
      <x:c r="F11" s="28" t="str">
        <x:v>Có dữ liệu nhạy cảm; cần bảo vệ</x:v>
      </x:c>
    </x:row>
    <x:row r="12" ht="48" hidden="0" customHeight="1">
      <x:c r="A12" s="28" t="str">
        <x:v>Backend</x:v>
      </x:c>
      <x:c r="B12" s="28" t="str">
        <x:v>Terraform</x:v>
      </x:c>
      <x:c r="C12" s="28" t="str">
        <x:v>Nơi lưu state</x:v>
      </x:c>
      <x:c r="D12" s="28" t="str">
        <x:v>PoC dùng local state</x:v>
      </x:c>
      <x:c r="E12" s="28" t="str">
        <x:v>Production dùng remote backend</x:v>
      </x:c>
      <x:c r="F12" s="28" t="str">
        <x:v>Cần encryption, backup, access control</x:v>
      </x:c>
    </x:row>
    <x:row r="13" ht="48" hidden="0" customHeight="1">
      <x:c r="A13" s="28" t="str">
        <x:v>State locking</x:v>
      </x:c>
      <x:c r="B13" s="28" t="str">
        <x:v>Terraform</x:v>
      </x:c>
      <x:c r="C13" s="28" t="str">
        <x:v>Khóa state khi một run đang ghi</x:v>
      </x:c>
      <x:c r="D13" s="28" t="str">
        <x:v>PoC chưa có</x:v>
      </x:c>
      <x:c r="E13" s="28" t="str">
        <x:v>Nhiều admin hoặc CI</x:v>
      </x:c>
      <x:c r="F13" s="28" t="str">
        <x:v>Ngăn apply đồng thời</x:v>
      </x:c>
    </x:row>
    <x:row r="14" ht="48" hidden="0" customHeight="1">
      <x:c r="A14" s="28" t="str">
        <x:v>Plan</x:v>
      </x:c>
      <x:c r="B14" s="28" t="str">
        <x:v>Terraform</x:v>
      </x:c>
      <x:c r="C14" s="28" t="str">
        <x:v>Preview diff trước mutation</x:v>
      </x:c>
      <x:c r="D14" s="28" t="str">
        <x:v>0 add / 1 change / 0 destroy</x:v>
      </x:c>
      <x:c r="E14" s="28" t="str">
        <x:v>Bắt buộc trước apply</x:v>
      </x:c>
      <x:c r="F14" s="28" t="str">
        <x:v>Saved plan có thể stale</x:v>
      </x:c>
    </x:row>
    <x:row r="15" ht="48" hidden="0" customHeight="1">
      <x:c r="A15" s="28" t="str">
        <x:v>Apply</x:v>
      </x:c>
      <x:c r="B15" s="28" t="str">
        <x:v>Terraform</x:v>
      </x:c>
      <x:c r="C15" s="28" t="str">
        <x:v>Thực thi plan lên GitHub</x:v>
      </x:c>
      <x:c r="D15" s="28" t="str">
        <x:v>Update team in-place</x:v>
      </x:c>
      <x:c r="E15" s="28" t="str">
        <x:v>Sau review</x:v>
      </x:c>
      <x:c r="F15" s="28" t="str">
        <x:v>Sau apply phải verify</x:v>
      </x:c>
    </x:row>
    <x:row r="16" ht="48" hidden="0" customHeight="1">
      <x:c r="A16" s="28" t="str">
        <x:v>Refresh</x:v>
      </x:c>
      <x:c r="B16" s="28" t="str">
        <x:v>Terraform</x:v>
      </x:c>
      <x:c r="C16" s="28" t="str">
        <x:v>Đọc remote để cập nhật góc nhìn của state</x:v>
      </x:c>
      <x:c r="D16" s="28" t="str">
        <x:v>Plan đọc team/membership</x:v>
      </x:c>
      <x:c r="E16" s="28" t="str">
        <x:v>Trước khi tính diff</x:v>
      </x:c>
      <x:c r="F16" s="28" t="str">
        <x:v>Cần credential hợp lệ</x:v>
      </x:c>
    </x:row>
    <x:row r="17" ht="48" hidden="0" customHeight="1">
      <x:c r="A17" s="28" t="str">
        <x:v>Drift</x:v>
      </x:c>
      <x:c r="B17" s="28" t="str">
        <x:v>Terraform</x:v>
      </x:c>
      <x:c r="C17" s="28" t="str">
        <x:v>Remote bị sửa khác code</x:v>
      </x:c>
      <x:c r="D17" s="28" t="str">
        <x:v>Sửa description bằng UI</x:v>
      </x:c>
      <x:c r="E17" s="28" t="str">
        <x:v>Scheduled plan phát hiện</x:v>
      </x:c>
      <x:c r="F17" s="28" t="str">
        <x:v>Chọn restore code hoặc cập nhật code</x:v>
      </x:c>
    </x:row>
    <x:row r="18" ht="48" hidden="0" customHeight="1">
      <x:c r="A18" s="28" t="str">
        <x:v>Import</x:v>
      </x:c>
      <x:c r="B18" s="28" t="str">
        <x:v>Terraform</x:v>
      </x:c>
      <x:c r="C18" s="28" t="str">
        <x:v>Đưa object có sẵn vào state</x:v>
      </x:c>
      <x:c r="D18" s="28" t="str">
        <x:v>Import bằng numeric team ID</x:v>
      </x:c>
      <x:c r="E18" s="28" t="str">
        <x:v>Migration team hiện hữu</x:v>
      </x:c>
      <x:c r="F18" s="28" t="str">
        <x:v>Config phải khớp trước apply</x:v>
      </x:c>
    </x:row>
    <x:row r="19" ht="48" hidden="0" customHeight="1">
      <x:c r="A19" s="28" t="str">
        <x:v>for_each key</x:v>
      </x:c>
      <x:c r="B19" s="28" t="str">
        <x:v>Terraform</x:v>
      </x:c>
      <x:c r="C19" s="28" t="str">
        <x:v>Key ổn định tạo identity trong state</x:v>
      </x:c>
      <x:c r="D19" s="28" t="str">
        <x:v>devops</x:v>
      </x:c>
      <x:c r="E19" s="28" t="str">
        <x:v>Quản lý nhiều team</x:v>
      </x:c>
      <x:c r="F19" s="28" t="str">
        <x:v>Đổi key có thể destroy/create</x:v>
      </x:c>
    </x:row>
    <x:row r="20" ht="48" hidden="0" customHeight="1">
      <x:c r="A20" s="28" t="str">
        <x:v>Resource address</x:v>
      </x:c>
      <x:c r="B20" s="28" t="str">
        <x:v>Terraform</x:v>
      </x:c>
      <x:c r="C20" s="28" t="str">
        <x:v>Địa chỉ duy nhất của instance trong state</x:v>
      </x:c>
      <x:c r="D20" s="28" t="str">
        <x:v>github_team.root["devops"]</x:v>
      </x:c>
      <x:c r="E20" s="28" t="str">
        <x:v>Plan, import, state commands</x:v>
      </x:c>
      <x:c r="F20" s="28" t="str">
        <x:v>Phải quote đúng trên shell</x:v>
      </x:c>
    </x:row>
    <x:row r="21" ht="48" hidden="0" customHeight="1">
      <x:c r="A21" s="28" t="str">
        <x:v>Dependency</x:v>
      </x:c>
      <x:c r="B21" s="28" t="str">
        <x:v>Terraform</x:v>
      </x:c>
      <x:c r="C21" s="28" t="str">
        <x:v>Quan hệ xác định thứ tự xử lý</x:v>
      </x:c>
      <x:c r="D21" s="28" t="str">
        <x:v>Membership phụ thuộc team ID</x:v>
      </x:c>
      <x:c r="E21" s="28" t="str">
        <x:v>Parent/child và memberships</x:v>
      </x:c>
      <x:c r="F21" s="28" t="str">
        <x:v>Tránh cycle</x:v>
      </x:c>
    </x:row>
    <x:row r="22" ht="48" hidden="0" customHeight="1">
      <x:c r="A22" s="28" t="str">
        <x:v>Output</x:v>
      </x:c>
      <x:c r="B22" s="28" t="str">
        <x:v>Terraform</x:v>
      </x:c>
      <x:c r="C22" s="28" t="str">
        <x:v>Giá trị xuất ra sau plan/apply</x:v>
      </x:c>
      <x:c r="D22" s="28" t="str">
        <x:v>team ID, slug, URL</x:v>
      </x:c>
      <x:c r="E22" s="28" t="str">
        <x:v>Verification và integration</x:v>
      </x:c>
      <x:c r="F22" s="28" t="str">
        <x:v>Không output secret</x:v>
      </x:c>
    </x:row>
    <x:row r="23" ht="48" hidden="0" customHeight="1">
      <x:c r="A23" s="28" t="str">
        <x:v>github_team</x:v>
      </x:c>
      <x:c r="B23" s="28" t="str">
        <x:v>GitHub Provider</x:v>
      </x:c>
      <x:c r="C23" s="28" t="str">
        <x:v>Quản lý team properties và hierarchy</x:v>
      </x:c>
      <x:c r="D23" s="28" t="str">
        <x:v>poc-infra-maintainers</x:v>
      </x:c>
      <x:c r="E23" s="28" t="str">
        <x:v>Create/update/delete team</x:v>
      </x:c>
      <x:c r="F23" s="28" t="str">
        <x:v>Delete có thể ảnh hưởng access/child</x:v>
      </x:c>
    </x:row>
    <x:row r="24" ht="48" hidden="0" customHeight="1">
      <x:c r="A24" s="28" t="str">
        <x:v>github_team_membership</x:v>
      </x:c>
      <x:c r="B24" s="28" t="str">
        <x:v>GitHub Provider</x:v>
      </x:c>
      <x:c r="C24" s="28" t="str">
        <x:v>Quản lý một direct team/user relationship</x:v>
      </x:c>
      <x:c r="D24" s="28" t="str">
        <x:v>phuc776: member → maintainer</x:v>
      </x:c>
      <x:c r="E24" s="28" t="str">
        <x:v>Add/role/remove team member</x:v>
      </x:c>
      <x:c r="F24" s="28" t="str">
        <x:v>Không đại diện inherited membership</x:v>
      </x:c>
    </x:row>
    <x:row r="25" ht="48" hidden="0" customHeight="1">
      <x:c r="A25" s="28" t="str">
        <x:v>github_membership</x:v>
      </x:c>
      <x:c r="B25" s="28" t="str">
        <x:v>GitHub Provider</x:v>
      </x:c>
      <x:c r="C25" s="28" t="str">
        <x:v>Quản lý organization member và gửi invitation</x:v>
      </x:c>
      <x:c r="D25" s="28" t="str">
        <x:v>Thuộc Task Org Members</x:v>
      </x:c>
      <x:c r="E25" s="28" t="str">
        <x:v>Invite/update org role/remove</x:v>
      </x:c>
      <x:c r="F25" s="28" t="str">
        <x:v>Destroy có thể remove user khỏi org</x:v>
      </x:c>
    </x:row>
    <x:row r="26" ht="48" hidden="0" customHeight="1">
      <x:c r="A26" s="28" t="str">
        <x:v>Implicit team invitation</x:v>
      </x:c>
      <x:c r="B26" s="28" t="str">
        <x:v>GitHub API</x:v>
      </x:c>
      <x:c r="C26" s="28" t="str">
        <x:v>Owner thêm non-member vào team sẽ gửi org invitation</x:v>
      </x:c>
      <x:c r="D26" s="28" t="str">
        <x:v>PoC chủ động chặn bằng active lookup</x:v>
      </x:c>
      <x:c r="E26" s="28" t="str">
        <x:v>Chỉ khi muốn gộp invite + team</x:v>
      </x:c>
      <x:c r="F26" s="28" t="str">
        <x:v>Khuyến nghị tách Task Org Members</x:v>
      </x:c>
    </x:row>
    <x:row r="27" ht="48" hidden="0" customHeight="1">
      <x:c r="A27" s="28" t="str">
        <x:v>Role</x:v>
      </x:c>
      <x:c r="B27" s="28" t="str">
        <x:v>GitHub</x:v>
      </x:c>
      <x:c r="C27" s="28" t="str">
        <x:v>Quyền ở org hoặc team</x:v>
      </x:c>
      <x:c r="D27" s="28" t="str">
        <x:v>Org member; team maintainer</x:v>
      </x:c>
      <x:c r="E27" s="28" t="str">
        <x:v>Phân quyền</x:v>
      </x:c>
      <x:c r="F27" s="28" t="str">
        <x:v>Org admin khác team maintainer</x:v>
      </x:c>
    </x:row>
    <x:row r="28" ht="48" hidden="0" customHeight="1">
      <x:c r="A28" s="28" t="str">
        <x:v>active / pending</x:v>
      </x:c>
      <x:c r="B28" s="28" t="str">
        <x:v>GitHub</x:v>
      </x:c>
      <x:c r="C28" s="28" t="str">
        <x:v>Trạng thái organization/team membership</x:v>
      </x:c>
      <x:c r="D28" s="28" t="str">
        <x:v>phuc776 active trước add</x:v>
      </x:c>
      <x:c r="E28" s="28" t="str">
        <x:v>Guard trước team mutation</x:v>
      </x:c>
      <x:c r="F28" s="28" t="str">
        <x:v>Pending phải accept invitation</x:v>
      </x:c>
    </x:row>
    <x:row r="29" ht="48" hidden="0" customHeight="1">
      <x:c r="A29" s="28" t="str">
        <x:v>direct / inherited</x:v>
      </x:c>
      <x:c r="B29" s="28" t="str">
        <x:v>GitHub</x:v>
      </x:c>
      <x:c r="C29" s="28" t="str">
        <x:v>Membership khai báo trực tiếp hoặc nhận qua hierarchy</x:v>
      </x:c>
      <x:c r="D29" s="28" t="str">
        <x:v>PoC chỉ quản lý direct</x:v>
      </x:c>
      <x:c r="E29" s="28" t="str">
        <x:v>Nested teams</x:v>
      </x:c>
      <x:c r="F29" s="28" t="str">
        <x:v>Remove direct có thể vẫn còn inherited</x:v>
      </x:c>
    </x:row>
    <x:row r="30" ht="48" hidden="0" customHeight="1">
      <x:c r="A30" s="28" t="str">
        <x:v>ID / slug</x:v>
      </x:c>
      <x:c r="B30" s="28" t="str">
        <x:v>GitHub</x:v>
      </x:c>
      <x:c r="C30" s="28" t="str">
        <x:v>ID ổn định; slug thường theo name</x:v>
      </x:c>
      <x:c r="D30" s="28" t="str">
        <x:v>ID giữ 19806617 khi rename</x:v>
      </x:c>
      <x:c r="E30" s="28" t="str">
        <x:v>Reference và URL</x:v>
      </x:c>
      <x:c r="F30" s="28" t="str">
        <x:v>Ưu tiên ID cho import</x:v>
      </x:c>
    </x:row>
    <x:row r="31"/>
    <x:row r="32"/>
    <x:row r="33" ht="15" hidden="0" customHeight="1">
      <x:c r="A33" s="23" t="str">
        <x:v>Nguồn</x:v>
      </x:c>
      <x:c r="B33" s="23" t="str">
        <x:v>URL</x:v>
      </x:c>
    </x:row>
    <x:row r="34" ht="36" hidden="0" customHeight="1">
      <x:c r="A34" s="27" t="str">
        <x:v>GitHub Provider</x:v>
      </x:c>
      <x:c r="B34" s="27" t="str">
        <x:v>https://registry.terraform.io/providers/integrations/github/latest/docs</x:v>
      </x:c>
    </x:row>
    <x:row r="35" ht="48" hidden="0" customHeight="1">
      <x:c r="A35" s="28" t="str">
        <x:v>Organization membership resource</x:v>
      </x:c>
      <x:c r="B35" s="28" t="str">
        <x:v>https://github.com/integrations/terraform-provider-github/blob/v6.13.0/docs/resources/membership.md</x:v>
      </x:c>
    </x:row>
    <x:row r="36" ht="60" hidden="0" customHeight="1">
      <x:c r="A36" s="28" t="str">
        <x:v>Team membership resource</x:v>
      </x:c>
      <x:c r="B36" s="28" t="str">
        <x:v>https://github.com/integrations/terraform-provider-github/blob/v6.13.0/docs/resources/team_membership.md</x:v>
      </x:c>
    </x:row>
    <x:row r="37" ht="24" hidden="0" customHeight="1">
      <x:c r="A37" s="28" t="str">
        <x:v>GitHub organization/team API</x:v>
      </x:c>
      <x:c r="B37" s="28" t="str">
        <x:v>https://docs.github.com/en/rest/orgs/members</x:v>
      </x:c>
    </x:row>
  </x:sheetData>
  <x:pageMargins left="0.7" right="0.7" top="0.75" bottom="0.75" header="0.3" footer="0.3"/>
  <x:tableParts count="1">
    <x:tablePart xmlns:r="http://schemas.openxmlformats.org/officeDocument/2006/relationships" r:id="Rb8fcece26b474104"/>
  </x:tableParts>
</x:worksheet>
</file>